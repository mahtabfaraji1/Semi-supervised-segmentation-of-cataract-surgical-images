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htab/Downloads/SSL4MIS/segmentation_project/"/>
    </mc:Choice>
  </mc:AlternateContent>
  <xr:revisionPtr revIDLastSave="0" documentId="13_ncr:1_{DFEE7FB1-F511-6846-B615-6736F2EEDFBD}" xr6:coauthVersionLast="47" xr6:coauthVersionMax="47" xr10:uidLastSave="{00000000-0000-0000-0000-000000000000}"/>
  <bookViews>
    <workbookView xWindow="0" yWindow="560" windowWidth="33600" windowHeight="18080" xr2:uid="{EE540E93-A899-D04F-9214-BF7ECCD9BE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5" i="1" l="1"/>
  <c r="X55" i="1"/>
  <c r="W55" i="1"/>
  <c r="V55" i="1"/>
</calcChain>
</file>

<file path=xl/sharedStrings.xml><?xml version="1.0" encoding="utf-8"?>
<sst xmlns="http://schemas.openxmlformats.org/spreadsheetml/2006/main" count="364" uniqueCount="190">
  <si>
    <t>Unlabeled Data in Each Batch</t>
  </si>
  <si>
    <t>EMA Decay Rate</t>
  </si>
  <si>
    <t xml:space="preserve"> Learning Rate</t>
  </si>
  <si>
    <t>Cornea</t>
  </si>
  <si>
    <t>Pupil</t>
  </si>
  <si>
    <t>Lens</t>
  </si>
  <si>
    <t>Instruments</t>
  </si>
  <si>
    <t>Results</t>
  </si>
  <si>
    <t>Experiment</t>
  </si>
  <si>
    <t>consistency</t>
  </si>
  <si>
    <t>consistency_rampup</t>
  </si>
  <si>
    <t>Saved_model</t>
  </si>
  <si>
    <t>Student</t>
  </si>
  <si>
    <t>Student and Teacher</t>
  </si>
  <si>
    <t>Batch size portaining</t>
  </si>
  <si>
    <t>50/50</t>
  </si>
  <si>
    <t>20/80</t>
  </si>
  <si>
    <t>20% labeled</t>
  </si>
  <si>
    <t>10% labeled</t>
  </si>
  <si>
    <t>30% labeled</t>
  </si>
  <si>
    <t>40% labeled</t>
  </si>
  <si>
    <t>Mean Teacher</t>
  </si>
  <si>
    <t>Supervised Unet</t>
  </si>
  <si>
    <t>Dice</t>
  </si>
  <si>
    <t>HD95</t>
  </si>
  <si>
    <t>0.8 +- 0.18</t>
  </si>
  <si>
    <t>0.79+-0.24</t>
  </si>
  <si>
    <t>0.64 +-0.31</t>
  </si>
  <si>
    <t>0.58 +-0.22</t>
  </si>
  <si>
    <t>29.47+-34.03</t>
  </si>
  <si>
    <t>35.79+-29.34</t>
  </si>
  <si>
    <t>65.63+-47.8</t>
  </si>
  <si>
    <t xml:space="preserve"> 144.06+-120.93</t>
  </si>
  <si>
    <t>0.8 +-0.16</t>
  </si>
  <si>
    <t>0.77+-0.26</t>
  </si>
  <si>
    <t>0.57 +-0.33</t>
  </si>
  <si>
    <t>0.56+-0.24</t>
  </si>
  <si>
    <t>30.59+-34.45</t>
  </si>
  <si>
    <t>35.62+- 27.83</t>
  </si>
  <si>
    <t>88.94+-60.8</t>
  </si>
  <si>
    <t>147.65+-117.93</t>
  </si>
  <si>
    <t>0.79+- 0.17</t>
  </si>
  <si>
    <t>0.78+-0.25</t>
  </si>
  <si>
    <t>0.55+- 0.34</t>
  </si>
  <si>
    <t>0.57+-0.22</t>
  </si>
  <si>
    <t xml:space="preserve"> 31.33+-37.07</t>
  </si>
  <si>
    <t>34.85+-29.51</t>
  </si>
  <si>
    <t xml:space="preserve"> 89.57+-66.04</t>
  </si>
  <si>
    <t>142.64+-110.69</t>
  </si>
  <si>
    <t>0.88+-0.08</t>
  </si>
  <si>
    <t>0.83+-0.23</t>
  </si>
  <si>
    <t>0.63+-0.37</t>
  </si>
  <si>
    <t>0.71+- 0.2</t>
  </si>
  <si>
    <t>18.48+-19.17</t>
  </si>
  <si>
    <t>24.82+-27.04</t>
  </si>
  <si>
    <t>71.28+_67.04</t>
  </si>
  <si>
    <t>94.31+-124.81</t>
  </si>
  <si>
    <t>0.87+-0.08</t>
  </si>
  <si>
    <t>0.82+-0.24</t>
  </si>
  <si>
    <t>0.68+- 0.34</t>
  </si>
  <si>
    <t>0.68+-0.21</t>
  </si>
  <si>
    <t>19.81+-22.4</t>
  </si>
  <si>
    <t>28.99+-24.23</t>
  </si>
  <si>
    <t>73.12+_71.8</t>
  </si>
  <si>
    <t>103.21+- 122.9</t>
  </si>
  <si>
    <t>0.88+-0.09</t>
  </si>
  <si>
    <t>0.82+-0.23</t>
  </si>
  <si>
    <t>0.68+-0.34</t>
  </si>
  <si>
    <t>0.67+-0.22</t>
  </si>
  <si>
    <t>19.77+-23.3</t>
  </si>
  <si>
    <t>27.66+-23.02</t>
  </si>
  <si>
    <t>71.4+-65.68</t>
  </si>
  <si>
    <t>101.69+-131.07</t>
  </si>
  <si>
    <t>0.9+-0.06</t>
  </si>
  <si>
    <t>0.85+-0.21</t>
  </si>
  <si>
    <t>0.78+-0.27</t>
  </si>
  <si>
    <t>0.74+-0.18</t>
  </si>
  <si>
    <t>14.42+-9.55</t>
  </si>
  <si>
    <t>19.81+-16.86</t>
  </si>
  <si>
    <t>47.29+-47.42</t>
  </si>
  <si>
    <t>68.86+-104.16</t>
  </si>
  <si>
    <t>0.76+-0.29</t>
  </si>
  <si>
    <t>14.93+-10.4</t>
  </si>
  <si>
    <t>20.28+-16.53</t>
  </si>
  <si>
    <t>45.15+-49.34</t>
  </si>
  <si>
    <t>71.48+-118.59</t>
  </si>
  <si>
    <t>0.84+-0.22</t>
  </si>
  <si>
    <t>0.81+-0.23</t>
  </si>
  <si>
    <t>14.74+-10.89</t>
  </si>
  <si>
    <t>21.38+-18.3</t>
  </si>
  <si>
    <t>38.21+-31.75</t>
  </si>
  <si>
    <t>71.48+-104.88</t>
  </si>
  <si>
    <t>0.91+-0.05</t>
  </si>
  <si>
    <t>0.87+-0.2</t>
  </si>
  <si>
    <t>0.77+- 0.26</t>
  </si>
  <si>
    <t>0.79+-0.15</t>
  </si>
  <si>
    <t>12.69+-7.99</t>
  </si>
  <si>
    <t>18.42+-17.98</t>
  </si>
  <si>
    <t>46.56+-44.4</t>
  </si>
  <si>
    <t>64.5+-121.69</t>
  </si>
  <si>
    <t>0.9+-0.05</t>
  </si>
  <si>
    <t>0.8+-0.25</t>
  </si>
  <si>
    <t>0.79+-0.16</t>
  </si>
  <si>
    <t>13.08+-7.44</t>
  </si>
  <si>
    <t>18.7+-17.31</t>
  </si>
  <si>
    <t>40.52+-45.19</t>
  </si>
  <si>
    <t>52.93+-92.44</t>
  </si>
  <si>
    <t>0.80+-0.25</t>
  </si>
  <si>
    <t>0.86+-0.21</t>
  </si>
  <si>
    <t>0.74+-0.31</t>
  </si>
  <si>
    <t>13.83+-12.93</t>
  </si>
  <si>
    <t>19.38+-17.54</t>
  </si>
  <si>
    <t>53.95+-57.53</t>
  </si>
  <si>
    <t>69.89+-119.92</t>
  </si>
  <si>
    <t>0.74+-0.22</t>
  </si>
  <si>
    <t>0.76+-0.25</t>
  </si>
  <si>
    <t>0.41+-0.35</t>
  </si>
  <si>
    <t>0.52+-0.24</t>
  </si>
  <si>
    <t>42.41+-42.67</t>
  </si>
  <si>
    <t>43.11+-36.83</t>
  </si>
  <si>
    <t>103.58+-67.6</t>
  </si>
  <si>
    <t>172.07+-120.77</t>
  </si>
  <si>
    <t>0.7+-0.25</t>
  </si>
  <si>
    <t>0.76+- 0.25</t>
  </si>
  <si>
    <t>0.42+-0.33</t>
  </si>
  <si>
    <t>0.49+-0.23</t>
  </si>
  <si>
    <t>48.56+-51.02</t>
  </si>
  <si>
    <t>43.84+-36.74</t>
  </si>
  <si>
    <t>99.42+-60.83</t>
  </si>
  <si>
    <t>182.27+-120.45</t>
  </si>
  <si>
    <t>0.7+-0.2</t>
  </si>
  <si>
    <t>0.76+-0.26</t>
  </si>
  <si>
    <t>0.45+-0.24</t>
  </si>
  <si>
    <t>49.77+-50.77</t>
  </si>
  <si>
    <t>43.99+-35.45</t>
  </si>
  <si>
    <t>107.0+-72.32</t>
  </si>
  <si>
    <t>209.82+-135.74</t>
  </si>
  <si>
    <t>0.87+-0.1</t>
  </si>
  <si>
    <t>0.66+- 0.32</t>
  </si>
  <si>
    <t>0.7+-0.21</t>
  </si>
  <si>
    <t>19.11+-15.16</t>
  </si>
  <si>
    <t>26.92+-22.79</t>
  </si>
  <si>
    <t>63.03+-59.51</t>
  </si>
  <si>
    <t>84.46+-121.5</t>
  </si>
  <si>
    <t>0.86+- 0.12</t>
  </si>
  <si>
    <t>0.71+-0.31</t>
  </si>
  <si>
    <t>0.65+-0.23</t>
  </si>
  <si>
    <t>22.19+-21.08</t>
  </si>
  <si>
    <t>30.32+-26.46</t>
  </si>
  <si>
    <t>55.64+_49.77</t>
  </si>
  <si>
    <t>92.8+-114.82</t>
  </si>
  <si>
    <t>0.85+-0.12</t>
  </si>
  <si>
    <t>0.8+-0.24</t>
  </si>
  <si>
    <t>0.68+-0.33</t>
  </si>
  <si>
    <t>0.67+-0.23</t>
  </si>
  <si>
    <t>23.08+-22.81</t>
  </si>
  <si>
    <t>29.96+-25.29</t>
  </si>
  <si>
    <t>61.46+-58.67</t>
  </si>
  <si>
    <t>87.55+-112.89</t>
  </si>
  <si>
    <t>0.88+-0.2</t>
  </si>
  <si>
    <t>12.25+-7.8</t>
  </si>
  <si>
    <t>18.82+-19.17</t>
  </si>
  <si>
    <t>38.6+-40.86</t>
  </si>
  <si>
    <t xml:space="preserve"> 55.19+-100.14</t>
  </si>
  <si>
    <t>0.87+-0.19</t>
  </si>
  <si>
    <t>0.81+-0.25</t>
  </si>
  <si>
    <t>0.77+-0.17</t>
  </si>
  <si>
    <t>12.89+-7.5</t>
  </si>
  <si>
    <t>17.83+-15.89</t>
  </si>
  <si>
    <t>39.62+-42.42</t>
  </si>
  <si>
    <t>76.59+-140.27</t>
  </si>
  <si>
    <t>0.8+-0.27</t>
  </si>
  <si>
    <t>0.77+-0.18</t>
  </si>
  <si>
    <t>12.78+-7.32</t>
  </si>
  <si>
    <t>19.83+-18.99</t>
  </si>
  <si>
    <t>42.76+-45.86</t>
  </si>
  <si>
    <t>54.24+-90.1</t>
  </si>
  <si>
    <t>mean:0.88, STD: 0.07</t>
  </si>
  <si>
    <t>mean: 17.67, STD: 17.42</t>
  </si>
  <si>
    <t>mean:0.82, STD: 0.25</t>
  </si>
  <si>
    <t xml:space="preserve"> mean: 25.11, STD: 23.36</t>
  </si>
  <si>
    <t>mean:0.36, STD: 0.34</t>
  </si>
  <si>
    <t>mean: 120.56, STD: 67.57</t>
  </si>
  <si>
    <t>mean:0.7, STD: 0.22</t>
  </si>
  <si>
    <t>mean: 78.76, STD: 104.46</t>
  </si>
  <si>
    <t>100 labeled</t>
  </si>
  <si>
    <t>1k unlabeled</t>
  </si>
  <si>
    <t>0 unlabeled</t>
  </si>
  <si>
    <t xml:space="preserve"> Cornea : dice: mean:0.87, STD: 0.08 hd95: mean: 25.11, STD: 44.42
 Pupil : dice: mean:0.82, STD: 0.22 hd95: mean: 33.77, STD: 29.74
 Lens : dice: mean:0.71, STD: 0.22 hd95: mean: 59.04, STD: 37.25
 Instruments : dice: mean:0.62, STD: 0.21 hd95: mean: 138.52, STD: 149.4</t>
  </si>
  <si>
    <t>Cornea : dice: mean:0.57, STD: 0.14 hd95: mean: 73.12, STD: 48.1
 Pupil : dice: mean:0.73, STD: 0.21 hd95: mean: 95.68, STD: 52.28
 Lens : dice: mean:0.45, STD: 0.23 hd95: mean: 86.86, STD: 40.51
 Instruments : dice: mean:0.33, STD: 0.14 hd95: mean: 253.53, STD: 89.31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</si>
</sst>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8"/>
      <color rgb="FF000000"/>
      <name val="Times New Roman"/>
      <family val="1"/>
    </font>
    <font>
      <sz val="10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/>
      <right style="medium">
        <color rgb="FF000000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2" borderId="0" xfId="0" applyFill="1" applyAlignment="1">
      <alignment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0" fillId="3" borderId="0" xfId="0" applyFill="1" applyAlignment="1">
      <alignment wrapText="1"/>
    </xf>
    <xf numFmtId="0" fontId="0" fillId="0" borderId="3" xfId="0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25604-67BC-C743-8C7E-97EF692D391A}">
  <dimension ref="A1:CG64"/>
  <sheetViews>
    <sheetView tabSelected="1" topLeftCell="BH36" zoomScale="110" zoomScaleNormal="110" workbookViewId="0">
      <selection activeCell="BU39" sqref="BU39"/>
    </sheetView>
  </sheetViews>
  <sheetFormatPr baseColWidth="10" defaultRowHeight="16" x14ac:dyDescent="0.2"/>
  <cols>
    <col min="1" max="22" width="10.83203125" style="1"/>
    <col min="23" max="24" width="11.6640625" style="1" bestFit="1" customWidth="1"/>
    <col min="25" max="16384" width="10.83203125" style="1"/>
  </cols>
  <sheetData>
    <row r="1" spans="1:36" ht="35" customHeight="1" thickBot="1" x14ac:dyDescent="0.25">
      <c r="A1" s="11" t="s">
        <v>8</v>
      </c>
      <c r="B1" s="11" t="s">
        <v>0</v>
      </c>
      <c r="C1" s="11" t="s">
        <v>10</v>
      </c>
      <c r="D1" s="11" t="s">
        <v>1</v>
      </c>
      <c r="E1" s="11" t="s">
        <v>9</v>
      </c>
      <c r="F1" s="11" t="s">
        <v>2</v>
      </c>
      <c r="G1" s="11" t="s">
        <v>11</v>
      </c>
      <c r="H1" s="11" t="s">
        <v>14</v>
      </c>
      <c r="I1" s="9" t="s">
        <v>7</v>
      </c>
      <c r="J1" s="9"/>
      <c r="K1" s="9"/>
      <c r="L1" s="9"/>
      <c r="Y1" s="11" t="s">
        <v>8</v>
      </c>
      <c r="Z1" s="11" t="s">
        <v>0</v>
      </c>
      <c r="AA1" s="11" t="s">
        <v>10</v>
      </c>
      <c r="AB1" s="11" t="s">
        <v>1</v>
      </c>
      <c r="AC1" s="11" t="s">
        <v>9</v>
      </c>
      <c r="AD1" s="11" t="s">
        <v>2</v>
      </c>
      <c r="AE1" s="11" t="s">
        <v>11</v>
      </c>
      <c r="AF1" s="11" t="s">
        <v>14</v>
      </c>
      <c r="AG1" s="9" t="s">
        <v>7</v>
      </c>
      <c r="AH1" s="9"/>
      <c r="AI1" s="9"/>
      <c r="AJ1" s="9"/>
    </row>
    <row r="2" spans="1:36" ht="17" thickBot="1" x14ac:dyDescent="0.25">
      <c r="A2" s="11"/>
      <c r="B2" s="11"/>
      <c r="C2" s="11"/>
      <c r="D2" s="11"/>
      <c r="E2" s="11"/>
      <c r="F2" s="11"/>
      <c r="G2" s="11"/>
      <c r="H2" s="11"/>
      <c r="I2" s="2" t="s">
        <v>3</v>
      </c>
      <c r="J2" s="2" t="s">
        <v>4</v>
      </c>
      <c r="K2" s="2" t="s">
        <v>5</v>
      </c>
      <c r="L2" s="3" t="s">
        <v>6</v>
      </c>
      <c r="Y2" s="11"/>
      <c r="Z2" s="11"/>
      <c r="AA2" s="11"/>
      <c r="AB2" s="11"/>
      <c r="AC2" s="11"/>
      <c r="AD2" s="11"/>
      <c r="AE2" s="11"/>
      <c r="AF2" s="11"/>
      <c r="AG2" s="2" t="s">
        <v>3</v>
      </c>
      <c r="AH2" s="2" t="s">
        <v>4</v>
      </c>
      <c r="AI2" s="2" t="s">
        <v>5</v>
      </c>
      <c r="AJ2" s="3" t="s">
        <v>6</v>
      </c>
    </row>
    <row r="3" spans="1:36" ht="18" thickBot="1" x14ac:dyDescent="0.25">
      <c r="A3" s="1">
        <v>1</v>
      </c>
      <c r="B3" s="1">
        <v>12</v>
      </c>
      <c r="C3" s="1">
        <v>200</v>
      </c>
      <c r="D3" s="1">
        <v>0.99</v>
      </c>
      <c r="E3" s="1">
        <v>0.1</v>
      </c>
      <c r="F3" s="1">
        <v>0.01</v>
      </c>
      <c r="G3" s="1" t="s">
        <v>12</v>
      </c>
      <c r="H3" s="1" t="s">
        <v>15</v>
      </c>
      <c r="I3" s="5">
        <v>0.86</v>
      </c>
      <c r="J3" s="6">
        <v>0.81</v>
      </c>
      <c r="K3" s="6">
        <v>0.67</v>
      </c>
      <c r="L3" s="6">
        <v>0.7</v>
      </c>
      <c r="Y3" s="1">
        <v>1</v>
      </c>
      <c r="Z3" s="1">
        <v>12</v>
      </c>
      <c r="AA3" s="1">
        <v>200</v>
      </c>
      <c r="AB3" s="1">
        <v>0.99</v>
      </c>
      <c r="AC3" s="1">
        <v>0.1</v>
      </c>
      <c r="AD3" s="1">
        <v>0.01</v>
      </c>
      <c r="AE3" s="1" t="s">
        <v>12</v>
      </c>
      <c r="AF3" s="1" t="s">
        <v>15</v>
      </c>
      <c r="AG3" s="1">
        <v>0.9</v>
      </c>
      <c r="AH3" s="1">
        <v>0.84</v>
      </c>
      <c r="AI3" s="1">
        <v>0.78</v>
      </c>
      <c r="AJ3" s="1">
        <v>0.74</v>
      </c>
    </row>
    <row r="4" spans="1:36" ht="34" x14ac:dyDescent="0.2">
      <c r="A4" s="1">
        <v>4</v>
      </c>
      <c r="B4" s="1">
        <v>12</v>
      </c>
      <c r="C4" s="1">
        <v>200</v>
      </c>
      <c r="D4" s="1">
        <v>0.99</v>
      </c>
      <c r="E4" s="1">
        <v>0.1</v>
      </c>
      <c r="F4" s="1">
        <v>0.01</v>
      </c>
      <c r="G4" s="1" t="s">
        <v>13</v>
      </c>
      <c r="H4" s="1" t="s">
        <v>15</v>
      </c>
      <c r="I4" s="1">
        <v>0.85</v>
      </c>
      <c r="J4" s="1">
        <v>0.78</v>
      </c>
      <c r="K4" s="1">
        <v>0.73</v>
      </c>
      <c r="L4" s="1">
        <v>0.67</v>
      </c>
      <c r="M4" s="1">
        <v>0.85</v>
      </c>
      <c r="N4" s="1">
        <v>0.79</v>
      </c>
      <c r="O4" s="1">
        <v>0.56999999999999995</v>
      </c>
      <c r="P4" s="1">
        <v>0.66</v>
      </c>
      <c r="Y4" s="1">
        <v>2</v>
      </c>
      <c r="Z4" s="1">
        <v>12</v>
      </c>
      <c r="AA4" s="1">
        <v>200</v>
      </c>
      <c r="AB4" s="1">
        <v>0.99</v>
      </c>
      <c r="AC4" s="4">
        <v>1</v>
      </c>
      <c r="AD4" s="1">
        <v>0.01</v>
      </c>
      <c r="AE4" s="1" t="s">
        <v>12</v>
      </c>
      <c r="AF4" s="1" t="s">
        <v>15</v>
      </c>
      <c r="AG4" s="1">
        <v>0.9</v>
      </c>
      <c r="AH4" s="1">
        <v>0.85</v>
      </c>
      <c r="AI4" s="1">
        <v>0.76</v>
      </c>
      <c r="AJ4" s="1">
        <v>0.76</v>
      </c>
    </row>
    <row r="5" spans="1:36" ht="17" x14ac:dyDescent="0.2">
      <c r="A5" s="1">
        <v>5</v>
      </c>
      <c r="B5" s="1">
        <v>12</v>
      </c>
      <c r="C5" s="1">
        <v>200</v>
      </c>
      <c r="D5" s="1">
        <v>0.99</v>
      </c>
      <c r="E5" s="1">
        <v>0.1</v>
      </c>
      <c r="F5" s="1">
        <v>0.01</v>
      </c>
      <c r="G5" s="1" t="s">
        <v>12</v>
      </c>
      <c r="H5" s="1" t="s">
        <v>16</v>
      </c>
      <c r="I5" s="1">
        <v>0.88</v>
      </c>
      <c r="J5" s="1">
        <v>0.83</v>
      </c>
      <c r="K5" s="1">
        <v>0.63</v>
      </c>
      <c r="L5" s="1">
        <v>0.71</v>
      </c>
      <c r="Y5" s="1">
        <v>3</v>
      </c>
      <c r="Z5" s="1">
        <v>12</v>
      </c>
      <c r="AA5" s="1">
        <v>200</v>
      </c>
      <c r="AB5" s="1">
        <v>0.99</v>
      </c>
      <c r="AC5" s="4">
        <v>0.5</v>
      </c>
      <c r="AD5" s="1">
        <v>0.01</v>
      </c>
      <c r="AE5" s="1" t="s">
        <v>12</v>
      </c>
      <c r="AF5" s="1" t="s">
        <v>15</v>
      </c>
      <c r="AG5" s="8">
        <v>0.9</v>
      </c>
      <c r="AH5" s="8">
        <v>0.86</v>
      </c>
      <c r="AI5" s="8">
        <v>0.79</v>
      </c>
      <c r="AJ5" s="8">
        <v>0.76</v>
      </c>
    </row>
    <row r="6" spans="1:36" ht="17" x14ac:dyDescent="0.2">
      <c r="Y6" s="1">
        <v>4</v>
      </c>
      <c r="Z6" s="1">
        <v>12</v>
      </c>
      <c r="AA6" s="1">
        <v>200</v>
      </c>
      <c r="AB6" s="1">
        <v>0.99</v>
      </c>
      <c r="AC6" s="4">
        <v>0.3</v>
      </c>
      <c r="AD6" s="1">
        <v>0.01</v>
      </c>
      <c r="AE6" s="1" t="s">
        <v>12</v>
      </c>
      <c r="AF6" s="1" t="s">
        <v>15</v>
      </c>
      <c r="AG6" s="1">
        <v>0.9</v>
      </c>
      <c r="AH6" s="1">
        <v>0.85</v>
      </c>
      <c r="AI6" s="1">
        <v>0.8</v>
      </c>
      <c r="AJ6" s="1">
        <v>0.74</v>
      </c>
    </row>
    <row r="7" spans="1:36" ht="17" x14ac:dyDescent="0.2">
      <c r="Y7" s="1">
        <v>5</v>
      </c>
      <c r="Z7" s="1">
        <v>12</v>
      </c>
      <c r="AA7" s="1">
        <v>200</v>
      </c>
      <c r="AB7" s="1">
        <v>0.99</v>
      </c>
      <c r="AC7" s="4">
        <v>10</v>
      </c>
      <c r="AD7" s="1">
        <v>0.01</v>
      </c>
      <c r="AE7" s="1" t="s">
        <v>12</v>
      </c>
      <c r="AF7" s="1" t="s">
        <v>15</v>
      </c>
      <c r="AG7" s="1">
        <v>0.9</v>
      </c>
      <c r="AH7" s="1">
        <v>0.86</v>
      </c>
      <c r="AI7" s="1">
        <v>0.7</v>
      </c>
      <c r="AJ7" s="1">
        <v>0.75</v>
      </c>
    </row>
    <row r="8" spans="1:36" ht="17" x14ac:dyDescent="0.2">
      <c r="Y8" s="1">
        <v>6</v>
      </c>
      <c r="Z8" s="1">
        <v>12</v>
      </c>
      <c r="AA8" s="4">
        <v>100</v>
      </c>
      <c r="AB8" s="1">
        <v>0.99</v>
      </c>
      <c r="AC8" s="4">
        <v>0.5</v>
      </c>
      <c r="AD8" s="1">
        <v>0.01</v>
      </c>
      <c r="AE8" s="1" t="s">
        <v>12</v>
      </c>
      <c r="AF8" s="1" t="s">
        <v>15</v>
      </c>
      <c r="AG8" s="1">
        <v>0.9</v>
      </c>
      <c r="AH8" s="1">
        <v>0.85</v>
      </c>
      <c r="AI8" s="1">
        <v>0.73</v>
      </c>
      <c r="AJ8" s="1">
        <v>0.76</v>
      </c>
    </row>
    <row r="9" spans="1:36" ht="17" x14ac:dyDescent="0.2">
      <c r="Y9" s="1">
        <v>7</v>
      </c>
      <c r="Z9" s="1">
        <v>12</v>
      </c>
      <c r="AA9" s="4">
        <v>100</v>
      </c>
      <c r="AB9" s="1">
        <v>0.99</v>
      </c>
      <c r="AC9" s="4">
        <v>0.3</v>
      </c>
      <c r="AD9" s="1">
        <v>0.01</v>
      </c>
      <c r="AE9" s="1" t="s">
        <v>12</v>
      </c>
      <c r="AF9" s="1" t="s">
        <v>15</v>
      </c>
      <c r="AG9" s="1">
        <v>0.9</v>
      </c>
      <c r="AH9" s="1">
        <v>0.85</v>
      </c>
      <c r="AI9" s="1">
        <v>0.69</v>
      </c>
      <c r="AJ9" s="1">
        <v>0.77</v>
      </c>
    </row>
    <row r="10" spans="1:36" ht="17" x14ac:dyDescent="0.2">
      <c r="Y10" s="1">
        <v>8</v>
      </c>
      <c r="Z10" s="1">
        <v>12</v>
      </c>
      <c r="AA10" s="1">
        <v>200</v>
      </c>
      <c r="AB10" s="1">
        <v>0.95</v>
      </c>
      <c r="AC10" s="4">
        <v>0.5</v>
      </c>
      <c r="AD10" s="1">
        <v>0.01</v>
      </c>
      <c r="AE10" s="1" t="s">
        <v>12</v>
      </c>
      <c r="AF10" s="1" t="s">
        <v>15</v>
      </c>
      <c r="AG10" s="1">
        <v>0.9</v>
      </c>
      <c r="AH10" s="1">
        <v>0.85</v>
      </c>
      <c r="AI10" s="1">
        <v>0.77</v>
      </c>
      <c r="AJ10" s="1">
        <v>0.76</v>
      </c>
    </row>
    <row r="11" spans="1:36" ht="17" x14ac:dyDescent="0.2">
      <c r="Y11" s="1">
        <v>9</v>
      </c>
      <c r="Z11" s="1">
        <v>12</v>
      </c>
      <c r="AA11" s="1">
        <v>200</v>
      </c>
      <c r="AB11" s="1">
        <v>0.97</v>
      </c>
      <c r="AC11" s="4">
        <v>0.5</v>
      </c>
      <c r="AD11" s="1">
        <v>0.01</v>
      </c>
      <c r="AE11" s="1" t="s">
        <v>12</v>
      </c>
      <c r="AF11" s="1" t="s">
        <v>15</v>
      </c>
      <c r="AG11" s="1">
        <v>0.9</v>
      </c>
      <c r="AH11" s="1">
        <v>0.85</v>
      </c>
      <c r="AI11" s="1">
        <v>0.76</v>
      </c>
      <c r="AJ11" s="1">
        <v>0.75</v>
      </c>
    </row>
    <row r="12" spans="1:36" ht="17" x14ac:dyDescent="0.2">
      <c r="Y12" s="1">
        <v>10</v>
      </c>
      <c r="Z12" s="1">
        <v>12</v>
      </c>
      <c r="AA12" s="1">
        <v>200</v>
      </c>
      <c r="AB12" s="1">
        <v>0.9</v>
      </c>
      <c r="AC12" s="4">
        <v>0.5</v>
      </c>
      <c r="AD12" s="1">
        <v>0.01</v>
      </c>
      <c r="AE12" s="1" t="s">
        <v>12</v>
      </c>
      <c r="AF12" s="1" t="s">
        <v>15</v>
      </c>
      <c r="AG12" s="1">
        <v>0.9</v>
      </c>
      <c r="AH12" s="1">
        <v>0.86</v>
      </c>
      <c r="AI12" s="1">
        <v>0.74</v>
      </c>
      <c r="AJ12" s="1">
        <v>0.74</v>
      </c>
    </row>
    <row r="28" spans="2:32" x14ac:dyDescent="0.2">
      <c r="B28" s="10" t="s">
        <v>21</v>
      </c>
      <c r="C28" s="11"/>
      <c r="D28" s="11"/>
      <c r="E28" s="11"/>
      <c r="F28" s="11"/>
      <c r="G28" s="11"/>
      <c r="H28" s="11"/>
      <c r="J28" s="10" t="s">
        <v>21</v>
      </c>
      <c r="K28" s="11"/>
      <c r="L28" s="11"/>
      <c r="M28" s="11"/>
      <c r="N28" s="11"/>
      <c r="O28" s="11"/>
      <c r="P28" s="11"/>
      <c r="T28" s="10" t="s">
        <v>22</v>
      </c>
      <c r="U28" s="11"/>
      <c r="V28" s="11"/>
      <c r="W28" s="11"/>
      <c r="X28" s="11"/>
      <c r="Y28" s="11"/>
    </row>
    <row r="32" spans="2:32" ht="18" thickBot="1" x14ac:dyDescent="0.25">
      <c r="B32" s="1" t="s">
        <v>23</v>
      </c>
      <c r="C32" s="9" t="s">
        <v>7</v>
      </c>
      <c r="D32" s="9"/>
      <c r="E32" s="9"/>
      <c r="F32" s="9"/>
      <c r="J32" s="1" t="s">
        <v>24</v>
      </c>
      <c r="K32" s="9" t="s">
        <v>7</v>
      </c>
      <c r="L32" s="9"/>
      <c r="M32" s="9"/>
      <c r="N32" s="9"/>
      <c r="U32" s="1" t="s">
        <v>23</v>
      </c>
      <c r="V32" s="9" t="s">
        <v>7</v>
      </c>
      <c r="W32" s="9"/>
      <c r="X32" s="9"/>
      <c r="Y32" s="9"/>
      <c r="AB32" s="1" t="s">
        <v>24</v>
      </c>
      <c r="AC32" s="9" t="s">
        <v>7</v>
      </c>
      <c r="AD32" s="9"/>
      <c r="AE32" s="9"/>
      <c r="AF32" s="9"/>
    </row>
    <row r="33" spans="2:85" ht="35" thickBot="1" x14ac:dyDescent="0.25">
      <c r="B33" s="1" t="s">
        <v>18</v>
      </c>
      <c r="C33" s="2" t="s">
        <v>3</v>
      </c>
      <c r="D33" s="2" t="s">
        <v>4</v>
      </c>
      <c r="E33" s="2" t="s">
        <v>5</v>
      </c>
      <c r="F33" s="3" t="s">
        <v>6</v>
      </c>
      <c r="J33" s="1" t="s">
        <v>18</v>
      </c>
      <c r="K33" s="2" t="s">
        <v>3</v>
      </c>
      <c r="L33" s="2" t="s">
        <v>4</v>
      </c>
      <c r="M33" s="2" t="s">
        <v>5</v>
      </c>
      <c r="N33" s="3" t="s">
        <v>6</v>
      </c>
      <c r="U33" s="1" t="s">
        <v>18</v>
      </c>
      <c r="V33" s="2" t="s">
        <v>3</v>
      </c>
      <c r="W33" s="2" t="s">
        <v>4</v>
      </c>
      <c r="X33" s="2" t="s">
        <v>5</v>
      </c>
      <c r="Y33" s="3" t="s">
        <v>6</v>
      </c>
      <c r="AB33" s="1" t="s">
        <v>18</v>
      </c>
      <c r="AC33" s="2" t="s">
        <v>3</v>
      </c>
      <c r="AD33" s="2" t="s">
        <v>4</v>
      </c>
      <c r="AE33" s="2" t="s">
        <v>5</v>
      </c>
      <c r="AF33" s="3" t="s">
        <v>6</v>
      </c>
      <c r="BB33" s="10" t="s">
        <v>22</v>
      </c>
      <c r="BC33" s="11"/>
      <c r="BD33" s="11"/>
      <c r="BE33" s="11"/>
      <c r="BF33" s="11"/>
      <c r="BG33" s="11"/>
    </row>
    <row r="34" spans="2:85" ht="34" x14ac:dyDescent="0.2">
      <c r="B34" s="1">
        <v>1</v>
      </c>
      <c r="C34" s="4" t="s">
        <v>25</v>
      </c>
      <c r="D34" s="4" t="s">
        <v>26</v>
      </c>
      <c r="E34" s="4" t="s">
        <v>27</v>
      </c>
      <c r="F34" s="4" t="s">
        <v>28</v>
      </c>
      <c r="J34" s="1">
        <v>1</v>
      </c>
      <c r="K34" s="4" t="s">
        <v>29</v>
      </c>
      <c r="L34" s="4" t="s">
        <v>30</v>
      </c>
      <c r="M34" s="4" t="s">
        <v>31</v>
      </c>
      <c r="N34" s="4" t="s">
        <v>32</v>
      </c>
      <c r="U34" s="1">
        <v>1</v>
      </c>
      <c r="V34" s="4" t="s">
        <v>122</v>
      </c>
      <c r="W34" s="4" t="s">
        <v>123</v>
      </c>
      <c r="X34" s="4" t="s">
        <v>124</v>
      </c>
      <c r="Y34" s="4" t="s">
        <v>125</v>
      </c>
      <c r="AB34" s="1">
        <v>1</v>
      </c>
      <c r="AC34" s="1" t="s">
        <v>126</v>
      </c>
      <c r="AD34" s="1" t="s">
        <v>127</v>
      </c>
      <c r="AE34" s="1" t="s">
        <v>128</v>
      </c>
      <c r="AF34" s="1" t="s">
        <v>129</v>
      </c>
      <c r="BS34" s="10" t="s">
        <v>21</v>
      </c>
      <c r="BT34" s="11"/>
      <c r="BU34" s="11"/>
      <c r="BV34" s="11"/>
      <c r="BW34" s="11"/>
      <c r="BX34" s="11"/>
      <c r="BY34" s="11"/>
      <c r="CA34" s="10" t="s">
        <v>21</v>
      </c>
      <c r="CB34" s="11"/>
      <c r="CC34" s="11"/>
      <c r="CD34" s="11"/>
      <c r="CE34" s="11"/>
      <c r="CF34" s="11"/>
      <c r="CG34" s="11"/>
    </row>
    <row r="35" spans="2:85" ht="34" x14ac:dyDescent="0.2">
      <c r="B35" s="1">
        <v>2</v>
      </c>
      <c r="C35" s="1" t="s">
        <v>33</v>
      </c>
      <c r="D35" s="1" t="s">
        <v>34</v>
      </c>
      <c r="E35" s="1" t="s">
        <v>35</v>
      </c>
      <c r="F35" s="1" t="s">
        <v>36</v>
      </c>
      <c r="J35" s="1">
        <v>2</v>
      </c>
      <c r="K35" s="1" t="s">
        <v>37</v>
      </c>
      <c r="L35" s="1" t="s">
        <v>38</v>
      </c>
      <c r="M35" s="1" t="s">
        <v>39</v>
      </c>
      <c r="N35" s="1" t="s">
        <v>40</v>
      </c>
      <c r="U35" s="1">
        <v>2</v>
      </c>
      <c r="V35" s="1" t="s">
        <v>114</v>
      </c>
      <c r="W35" s="1" t="s">
        <v>115</v>
      </c>
      <c r="X35" s="1" t="s">
        <v>116</v>
      </c>
      <c r="Y35" s="1" t="s">
        <v>117</v>
      </c>
      <c r="AB35" s="1">
        <v>2</v>
      </c>
      <c r="AC35" s="4" t="s">
        <v>118</v>
      </c>
      <c r="AD35" s="4" t="s">
        <v>119</v>
      </c>
      <c r="AE35" s="4" t="s">
        <v>120</v>
      </c>
      <c r="AF35" s="4" t="s">
        <v>121</v>
      </c>
    </row>
    <row r="36" spans="2:85" ht="34" x14ac:dyDescent="0.2">
      <c r="B36" s="1">
        <v>3</v>
      </c>
      <c r="C36" s="1" t="s">
        <v>41</v>
      </c>
      <c r="D36" s="1" t="s">
        <v>42</v>
      </c>
      <c r="E36" s="1" t="s">
        <v>43</v>
      </c>
      <c r="F36" s="1" t="s">
        <v>44</v>
      </c>
      <c r="J36" s="1">
        <v>3</v>
      </c>
      <c r="K36" s="1" t="s">
        <v>45</v>
      </c>
      <c r="L36" s="1" t="s">
        <v>46</v>
      </c>
      <c r="M36" s="1" t="s">
        <v>47</v>
      </c>
      <c r="N36" s="1" t="s">
        <v>48</v>
      </c>
      <c r="U36" s="1">
        <v>3</v>
      </c>
      <c r="V36" s="1" t="s">
        <v>130</v>
      </c>
      <c r="W36" s="1" t="s">
        <v>131</v>
      </c>
      <c r="X36" s="1" t="s">
        <v>116</v>
      </c>
      <c r="Y36" s="1" t="s">
        <v>132</v>
      </c>
      <c r="AB36" s="1">
        <v>3</v>
      </c>
      <c r="AC36" s="1" t="s">
        <v>133</v>
      </c>
      <c r="AD36" s="1" t="s">
        <v>134</v>
      </c>
      <c r="AE36" s="1" t="s">
        <v>135</v>
      </c>
      <c r="AF36" s="1" t="s">
        <v>136</v>
      </c>
    </row>
    <row r="37" spans="2:85" ht="18" thickBot="1" x14ac:dyDescent="0.25">
      <c r="C37" s="1">
        <v>0.79</v>
      </c>
      <c r="D37" s="1">
        <v>0.78</v>
      </c>
      <c r="E37" s="1">
        <v>0.57999999999999996</v>
      </c>
      <c r="F37" s="1">
        <v>0.56999999999999995</v>
      </c>
      <c r="K37" s="1">
        <v>30.46</v>
      </c>
      <c r="L37" s="1">
        <v>35.42</v>
      </c>
      <c r="M37" s="1">
        <v>81.709999999999994</v>
      </c>
      <c r="N37" s="1">
        <v>144.78</v>
      </c>
      <c r="V37" s="1">
        <v>0.71</v>
      </c>
      <c r="W37" s="1">
        <v>0.76</v>
      </c>
      <c r="X37" s="1">
        <v>0.41</v>
      </c>
      <c r="Y37" s="1">
        <v>0.48</v>
      </c>
      <c r="AC37" s="1">
        <v>46.91</v>
      </c>
      <c r="AD37" s="1">
        <v>43.64</v>
      </c>
      <c r="AE37" s="1">
        <v>103.33</v>
      </c>
      <c r="AF37" s="1">
        <v>188.05</v>
      </c>
      <c r="BC37" s="1" t="s">
        <v>23</v>
      </c>
      <c r="BD37" s="9" t="s">
        <v>7</v>
      </c>
      <c r="BE37" s="9"/>
      <c r="BF37" s="9"/>
      <c r="BG37" s="9"/>
      <c r="BJ37" s="1" t="s">
        <v>24</v>
      </c>
      <c r="BK37" s="9" t="s">
        <v>7</v>
      </c>
      <c r="BL37" s="9"/>
      <c r="BM37" s="9"/>
      <c r="BN37" s="9"/>
      <c r="BS37" s="1" t="s">
        <v>23</v>
      </c>
      <c r="BT37" s="9" t="s">
        <v>7</v>
      </c>
      <c r="BU37" s="9"/>
      <c r="BV37" s="9"/>
      <c r="BW37" s="9"/>
      <c r="CA37" s="1" t="s">
        <v>24</v>
      </c>
      <c r="CB37" s="9" t="s">
        <v>7</v>
      </c>
      <c r="CC37" s="9"/>
      <c r="CD37" s="9"/>
      <c r="CE37" s="9"/>
    </row>
    <row r="38" spans="2:85" ht="18" thickBot="1" x14ac:dyDescent="0.25">
      <c r="BC38" s="1">
        <v>100</v>
      </c>
      <c r="BD38" s="2" t="s">
        <v>3</v>
      </c>
      <c r="BE38" s="2" t="s">
        <v>4</v>
      </c>
      <c r="BF38" s="2" t="s">
        <v>5</v>
      </c>
      <c r="BG38" s="3" t="s">
        <v>6</v>
      </c>
      <c r="BJ38" s="1">
        <v>100</v>
      </c>
      <c r="BK38" s="2" t="s">
        <v>3</v>
      </c>
      <c r="BL38" s="2" t="s">
        <v>4</v>
      </c>
      <c r="BM38" s="2" t="s">
        <v>5</v>
      </c>
      <c r="BN38" s="3" t="s">
        <v>6</v>
      </c>
      <c r="BS38" s="1" t="s">
        <v>185</v>
      </c>
      <c r="BT38" s="2" t="s">
        <v>3</v>
      </c>
      <c r="BU38" s="2" t="s">
        <v>4</v>
      </c>
      <c r="BV38" s="2" t="s">
        <v>5</v>
      </c>
      <c r="BW38" s="3" t="s">
        <v>6</v>
      </c>
      <c r="CA38" s="1" t="s">
        <v>185</v>
      </c>
      <c r="CB38" s="2" t="s">
        <v>3</v>
      </c>
      <c r="CC38" s="2" t="s">
        <v>4</v>
      </c>
      <c r="CD38" s="2" t="s">
        <v>5</v>
      </c>
      <c r="CE38" s="3" t="s">
        <v>6</v>
      </c>
    </row>
    <row r="39" spans="2:85" ht="408" customHeight="1" x14ac:dyDescent="0.2">
      <c r="BD39" s="1" t="s">
        <v>177</v>
      </c>
      <c r="BE39" s="1" t="s">
        <v>179</v>
      </c>
      <c r="BF39" s="1" t="s">
        <v>181</v>
      </c>
      <c r="BG39" s="1" t="s">
        <v>183</v>
      </c>
      <c r="BJ39" s="1" t="s">
        <v>187</v>
      </c>
      <c r="BK39" s="1" t="s">
        <v>178</v>
      </c>
      <c r="BL39" s="1" t="s">
        <v>180</v>
      </c>
      <c r="BM39" s="1" t="s">
        <v>182</v>
      </c>
      <c r="BN39" s="1" t="s">
        <v>184</v>
      </c>
      <c r="BS39" s="1" t="s">
        <v>186</v>
      </c>
      <c r="BT39" s="1" t="s">
        <v>189</v>
      </c>
    </row>
    <row r="41" spans="2:85" ht="17" thickBot="1" x14ac:dyDescent="0.25">
      <c r="C41" s="9" t="s">
        <v>7</v>
      </c>
      <c r="D41" s="9"/>
      <c r="E41" s="9"/>
      <c r="F41" s="9"/>
      <c r="K41" s="9" t="s">
        <v>7</v>
      </c>
      <c r="L41" s="9"/>
      <c r="M41" s="9"/>
      <c r="N41" s="9"/>
      <c r="V41" s="9" t="s">
        <v>7</v>
      </c>
      <c r="W41" s="9"/>
      <c r="X41" s="9"/>
      <c r="Y41" s="9"/>
      <c r="AC41" s="9" t="s">
        <v>7</v>
      </c>
      <c r="AD41" s="9"/>
      <c r="AE41" s="9"/>
      <c r="AF41" s="9"/>
    </row>
    <row r="42" spans="2:85" ht="35" thickBot="1" x14ac:dyDescent="0.25">
      <c r="B42" s="1" t="s">
        <v>17</v>
      </c>
      <c r="C42" s="2" t="s">
        <v>3</v>
      </c>
      <c r="D42" s="2" t="s">
        <v>4</v>
      </c>
      <c r="E42" s="2" t="s">
        <v>5</v>
      </c>
      <c r="F42" s="3" t="s">
        <v>6</v>
      </c>
      <c r="J42" s="1" t="s">
        <v>17</v>
      </c>
      <c r="K42" s="2" t="s">
        <v>3</v>
      </c>
      <c r="L42" s="2" t="s">
        <v>4</v>
      </c>
      <c r="M42" s="2" t="s">
        <v>5</v>
      </c>
      <c r="N42" s="3" t="s">
        <v>6</v>
      </c>
      <c r="U42" s="1" t="s">
        <v>17</v>
      </c>
      <c r="V42" s="2" t="s">
        <v>3</v>
      </c>
      <c r="W42" s="2" t="s">
        <v>4</v>
      </c>
      <c r="X42" s="2" t="s">
        <v>5</v>
      </c>
      <c r="Y42" s="3" t="s">
        <v>6</v>
      </c>
      <c r="AB42" s="1" t="s">
        <v>17</v>
      </c>
      <c r="AC42" s="2" t="s">
        <v>3</v>
      </c>
      <c r="AD42" s="2" t="s">
        <v>4</v>
      </c>
      <c r="AE42" s="2" t="s">
        <v>5</v>
      </c>
      <c r="AF42" s="3" t="s">
        <v>6</v>
      </c>
    </row>
    <row r="43" spans="2:85" ht="34" x14ac:dyDescent="0.2">
      <c r="B43" s="1">
        <v>1</v>
      </c>
      <c r="C43" s="1" t="s">
        <v>49</v>
      </c>
      <c r="D43" s="1" t="s">
        <v>50</v>
      </c>
      <c r="E43" s="1" t="s">
        <v>51</v>
      </c>
      <c r="F43" s="1" t="s">
        <v>52</v>
      </c>
      <c r="J43" s="1">
        <v>1</v>
      </c>
      <c r="K43" s="1" t="s">
        <v>53</v>
      </c>
      <c r="L43" s="1" t="s">
        <v>54</v>
      </c>
      <c r="M43" s="1" t="s">
        <v>55</v>
      </c>
      <c r="N43" s="1" t="s">
        <v>56</v>
      </c>
      <c r="U43" s="1">
        <v>1</v>
      </c>
      <c r="V43" s="1" t="s">
        <v>137</v>
      </c>
      <c r="W43" s="1" t="s">
        <v>58</v>
      </c>
      <c r="X43" s="1" t="s">
        <v>138</v>
      </c>
      <c r="Y43" s="1" t="s">
        <v>139</v>
      </c>
      <c r="AB43" s="1">
        <v>1</v>
      </c>
      <c r="AC43" s="4" t="s">
        <v>140</v>
      </c>
      <c r="AD43" s="4" t="s">
        <v>141</v>
      </c>
      <c r="AE43" s="4" t="s">
        <v>142</v>
      </c>
      <c r="AF43" s="4" t="s">
        <v>143</v>
      </c>
    </row>
    <row r="44" spans="2:85" ht="409.6" x14ac:dyDescent="0.2">
      <c r="B44" s="1">
        <v>2</v>
      </c>
      <c r="C44" s="1" t="s">
        <v>57</v>
      </c>
      <c r="D44" s="1" t="s">
        <v>58</v>
      </c>
      <c r="E44" s="1" t="s">
        <v>59</v>
      </c>
      <c r="F44" s="1" t="s">
        <v>60</v>
      </c>
      <c r="J44" s="1">
        <v>2</v>
      </c>
      <c r="K44" s="1" t="s">
        <v>61</v>
      </c>
      <c r="L44" s="1" t="s">
        <v>62</v>
      </c>
      <c r="M44" s="1" t="s">
        <v>63</v>
      </c>
      <c r="N44" s="1" t="s">
        <v>64</v>
      </c>
      <c r="U44" s="1">
        <v>2</v>
      </c>
      <c r="V44" s="1" t="s">
        <v>144</v>
      </c>
      <c r="W44" s="1" t="s">
        <v>101</v>
      </c>
      <c r="X44" s="1" t="s">
        <v>145</v>
      </c>
      <c r="Y44" s="1" t="s">
        <v>146</v>
      </c>
      <c r="AB44" s="1">
        <v>2</v>
      </c>
      <c r="AC44" s="1" t="s">
        <v>147</v>
      </c>
      <c r="AD44" s="1" t="s">
        <v>148</v>
      </c>
      <c r="AE44" s="1" t="s">
        <v>149</v>
      </c>
      <c r="AF44" s="1" t="s">
        <v>150</v>
      </c>
      <c r="BD44" s="1" t="s">
        <v>188</v>
      </c>
    </row>
    <row r="45" spans="2:85" ht="34" x14ac:dyDescent="0.2">
      <c r="B45" s="1">
        <v>3</v>
      </c>
      <c r="C45" s="4" t="s">
        <v>65</v>
      </c>
      <c r="D45" s="4" t="s">
        <v>66</v>
      </c>
      <c r="E45" s="4" t="s">
        <v>67</v>
      </c>
      <c r="F45" s="4" t="s">
        <v>68</v>
      </c>
      <c r="J45" s="1">
        <v>3</v>
      </c>
      <c r="K45" s="4" t="s">
        <v>69</v>
      </c>
      <c r="L45" s="4" t="s">
        <v>70</v>
      </c>
      <c r="M45" s="4" t="s">
        <v>71</v>
      </c>
      <c r="N45" s="4" t="s">
        <v>72</v>
      </c>
      <c r="U45" s="1">
        <v>3</v>
      </c>
      <c r="V45" s="4" t="s">
        <v>151</v>
      </c>
      <c r="W45" s="4" t="s">
        <v>152</v>
      </c>
      <c r="X45" s="4" t="s">
        <v>153</v>
      </c>
      <c r="Y45" s="4" t="s">
        <v>154</v>
      </c>
      <c r="AB45" s="1">
        <v>3</v>
      </c>
      <c r="AC45" s="1" t="s">
        <v>155</v>
      </c>
      <c r="AD45" s="1" t="s">
        <v>156</v>
      </c>
      <c r="AE45" s="1" t="s">
        <v>157</v>
      </c>
      <c r="AF45" s="1" t="s">
        <v>158</v>
      </c>
    </row>
    <row r="46" spans="2:85" x14ac:dyDescent="0.2">
      <c r="C46" s="1">
        <v>0.87</v>
      </c>
      <c r="D46" s="1">
        <v>0.82</v>
      </c>
      <c r="E46" s="1">
        <v>0.66</v>
      </c>
      <c r="F46" s="1">
        <v>0.68</v>
      </c>
      <c r="K46" s="1">
        <v>19.350000000000001</v>
      </c>
      <c r="L46" s="1">
        <v>27.15</v>
      </c>
      <c r="M46" s="1">
        <v>71.930000000000007</v>
      </c>
      <c r="N46" s="1">
        <v>99.73</v>
      </c>
      <c r="V46" s="1">
        <v>0.86</v>
      </c>
      <c r="W46" s="1">
        <v>0.8</v>
      </c>
      <c r="X46" s="1">
        <v>0.68</v>
      </c>
      <c r="Y46" s="1">
        <v>0.67</v>
      </c>
      <c r="AC46" s="1">
        <v>21.46</v>
      </c>
      <c r="AD46" s="1">
        <v>29.06</v>
      </c>
      <c r="AE46" s="1">
        <v>60.04</v>
      </c>
      <c r="AF46" s="1">
        <v>88.27</v>
      </c>
    </row>
    <row r="47" spans="2:85" x14ac:dyDescent="0.2">
      <c r="G47" s="7"/>
      <c r="O47" s="7"/>
    </row>
    <row r="50" spans="2:32" ht="17" thickBot="1" x14ac:dyDescent="0.25">
      <c r="C50" s="9" t="s">
        <v>7</v>
      </c>
      <c r="D50" s="9"/>
      <c r="E50" s="9"/>
      <c r="F50" s="9"/>
      <c r="K50" s="9" t="s">
        <v>7</v>
      </c>
      <c r="L50" s="9"/>
      <c r="M50" s="9"/>
      <c r="N50" s="9"/>
      <c r="V50" s="9" t="s">
        <v>7</v>
      </c>
      <c r="W50" s="9"/>
      <c r="X50" s="9"/>
      <c r="Y50" s="9"/>
      <c r="AC50" s="9" t="s">
        <v>7</v>
      </c>
      <c r="AD50" s="9"/>
      <c r="AE50" s="9"/>
      <c r="AF50" s="9"/>
    </row>
    <row r="51" spans="2:32" ht="35" thickBot="1" x14ac:dyDescent="0.25">
      <c r="B51" s="1" t="s">
        <v>19</v>
      </c>
      <c r="C51" s="2" t="s">
        <v>3</v>
      </c>
      <c r="D51" s="2" t="s">
        <v>4</v>
      </c>
      <c r="E51" s="2" t="s">
        <v>5</v>
      </c>
      <c r="F51" s="3" t="s">
        <v>6</v>
      </c>
      <c r="J51" s="1" t="s">
        <v>19</v>
      </c>
      <c r="K51" s="2" t="s">
        <v>3</v>
      </c>
      <c r="L51" s="2" t="s">
        <v>4</v>
      </c>
      <c r="M51" s="2" t="s">
        <v>5</v>
      </c>
      <c r="N51" s="3" t="s">
        <v>6</v>
      </c>
      <c r="U51" s="1" t="s">
        <v>19</v>
      </c>
      <c r="V51" s="2" t="s">
        <v>3</v>
      </c>
      <c r="W51" s="2" t="s">
        <v>4</v>
      </c>
      <c r="X51" s="2" t="s">
        <v>5</v>
      </c>
      <c r="Y51" s="3" t="s">
        <v>6</v>
      </c>
      <c r="AB51" s="1" t="s">
        <v>19</v>
      </c>
      <c r="AC51" s="2" t="s">
        <v>3</v>
      </c>
      <c r="AD51" s="2" t="s">
        <v>4</v>
      </c>
      <c r="AE51" s="2" t="s">
        <v>5</v>
      </c>
      <c r="AF51" s="3" t="s">
        <v>6</v>
      </c>
    </row>
    <row r="52" spans="2:32" ht="34" x14ac:dyDescent="0.2">
      <c r="B52" s="1">
        <v>1</v>
      </c>
      <c r="C52" s="1" t="s">
        <v>73</v>
      </c>
      <c r="D52" s="1" t="s">
        <v>74</v>
      </c>
      <c r="E52" s="1" t="s">
        <v>75</v>
      </c>
      <c r="F52" s="1" t="s">
        <v>76</v>
      </c>
      <c r="J52" s="1">
        <v>1</v>
      </c>
      <c r="K52" s="1" t="s">
        <v>77</v>
      </c>
      <c r="L52" s="1" t="s">
        <v>78</v>
      </c>
      <c r="M52" s="1" t="s">
        <v>79</v>
      </c>
      <c r="N52" s="1" t="s">
        <v>80</v>
      </c>
      <c r="U52" s="1">
        <v>1</v>
      </c>
      <c r="V52" s="1">
        <v>0.9</v>
      </c>
      <c r="W52" s="1">
        <v>0.85</v>
      </c>
      <c r="X52" s="1">
        <v>0.78</v>
      </c>
      <c r="Y52" s="1">
        <v>0.74</v>
      </c>
      <c r="AB52" s="1">
        <v>1</v>
      </c>
      <c r="AC52" s="1">
        <v>14.42</v>
      </c>
      <c r="AD52" s="1">
        <v>19.809999999999999</v>
      </c>
      <c r="AE52" s="1">
        <v>47.29</v>
      </c>
      <c r="AF52" s="1">
        <v>68.86</v>
      </c>
    </row>
    <row r="53" spans="2:32" ht="34" x14ac:dyDescent="0.2">
      <c r="B53" s="1">
        <v>2</v>
      </c>
      <c r="C53" s="4" t="s">
        <v>73</v>
      </c>
      <c r="D53" s="4" t="s">
        <v>74</v>
      </c>
      <c r="E53" s="4" t="s">
        <v>81</v>
      </c>
      <c r="F53" s="4" t="s">
        <v>76</v>
      </c>
      <c r="J53" s="1">
        <v>2</v>
      </c>
      <c r="K53" s="4" t="s">
        <v>82</v>
      </c>
      <c r="L53" s="4" t="s">
        <v>83</v>
      </c>
      <c r="M53" s="4" t="s">
        <v>84</v>
      </c>
      <c r="N53" s="4" t="s">
        <v>85</v>
      </c>
      <c r="U53" s="1">
        <v>2</v>
      </c>
      <c r="V53" s="4">
        <v>0.9</v>
      </c>
      <c r="W53" s="4">
        <v>0.85</v>
      </c>
      <c r="X53" s="4">
        <v>0.76</v>
      </c>
      <c r="Y53" s="4">
        <v>0.74</v>
      </c>
      <c r="AB53" s="1">
        <v>2</v>
      </c>
      <c r="AC53" s="1">
        <v>14.93</v>
      </c>
      <c r="AD53" s="1">
        <v>20.28</v>
      </c>
      <c r="AE53" s="1">
        <v>45.15</v>
      </c>
      <c r="AF53" s="1">
        <v>71.48</v>
      </c>
    </row>
    <row r="54" spans="2:32" ht="34" x14ac:dyDescent="0.2">
      <c r="B54" s="1">
        <v>3</v>
      </c>
      <c r="C54" s="1" t="s">
        <v>73</v>
      </c>
      <c r="D54" s="1" t="s">
        <v>86</v>
      </c>
      <c r="E54" s="1" t="s">
        <v>87</v>
      </c>
      <c r="F54" s="1" t="s">
        <v>76</v>
      </c>
      <c r="J54" s="1">
        <v>3</v>
      </c>
      <c r="K54" s="1" t="s">
        <v>88</v>
      </c>
      <c r="L54" s="1" t="s">
        <v>89</v>
      </c>
      <c r="M54" s="1" t="s">
        <v>90</v>
      </c>
      <c r="N54" s="1" t="s">
        <v>91</v>
      </c>
      <c r="U54" s="1">
        <v>3</v>
      </c>
      <c r="V54" s="1">
        <v>0.9</v>
      </c>
      <c r="W54" s="1">
        <v>0.84</v>
      </c>
      <c r="X54" s="1">
        <v>0.81</v>
      </c>
      <c r="Y54" s="1">
        <v>0.74</v>
      </c>
      <c r="AB54" s="1">
        <v>3</v>
      </c>
      <c r="AC54" s="4">
        <v>14.74</v>
      </c>
      <c r="AD54" s="4">
        <v>21.38</v>
      </c>
      <c r="AE54" s="4">
        <v>38.21</v>
      </c>
      <c r="AF54" s="4">
        <v>71.48</v>
      </c>
    </row>
    <row r="55" spans="2:32" x14ac:dyDescent="0.2">
      <c r="C55" s="1">
        <v>0.9</v>
      </c>
      <c r="D55" s="1">
        <v>0.84</v>
      </c>
      <c r="E55" s="1">
        <v>0.78</v>
      </c>
      <c r="F55" s="1">
        <v>0.74</v>
      </c>
      <c r="K55" s="1">
        <v>14.69</v>
      </c>
      <c r="L55" s="1">
        <v>20.49</v>
      </c>
      <c r="M55" s="1">
        <v>43.55</v>
      </c>
      <c r="N55" s="1">
        <v>70.599999999999994</v>
      </c>
      <c r="V55" s="1">
        <f>AVERAGE(V52:V54)</f>
        <v>0.9</v>
      </c>
      <c r="W55" s="1">
        <f>AVERAGE(W52:W54)</f>
        <v>0.84666666666666668</v>
      </c>
      <c r="X55" s="1">
        <f>AVERAGE(X52:X54)</f>
        <v>0.78333333333333333</v>
      </c>
      <c r="Y55" s="1">
        <f>AVERAGE(Y52:Y54)</f>
        <v>0.73999999999999988</v>
      </c>
      <c r="AC55" s="1">
        <v>14.69</v>
      </c>
      <c r="AD55" s="1">
        <v>20.49</v>
      </c>
      <c r="AE55" s="1">
        <v>43.55</v>
      </c>
      <c r="AF55" s="1">
        <v>70.599999999999994</v>
      </c>
    </row>
    <row r="59" spans="2:32" ht="17" thickBot="1" x14ac:dyDescent="0.25">
      <c r="C59" s="9" t="s">
        <v>7</v>
      </c>
      <c r="D59" s="9"/>
      <c r="E59" s="9"/>
      <c r="F59" s="9"/>
      <c r="K59" s="9" t="s">
        <v>7</v>
      </c>
      <c r="L59" s="9"/>
      <c r="M59" s="9"/>
      <c r="N59" s="9"/>
      <c r="V59" s="9" t="s">
        <v>7</v>
      </c>
      <c r="W59" s="9"/>
      <c r="X59" s="9"/>
      <c r="Y59" s="9"/>
      <c r="AC59" s="9" t="s">
        <v>7</v>
      </c>
      <c r="AD59" s="9"/>
      <c r="AE59" s="9"/>
      <c r="AF59" s="9"/>
    </row>
    <row r="60" spans="2:32" ht="35" thickBot="1" x14ac:dyDescent="0.25">
      <c r="B60" s="1" t="s">
        <v>20</v>
      </c>
      <c r="C60" s="2" t="s">
        <v>3</v>
      </c>
      <c r="D60" s="2" t="s">
        <v>4</v>
      </c>
      <c r="E60" s="2" t="s">
        <v>5</v>
      </c>
      <c r="F60" s="3" t="s">
        <v>6</v>
      </c>
      <c r="J60" s="1" t="s">
        <v>20</v>
      </c>
      <c r="K60" s="2" t="s">
        <v>3</v>
      </c>
      <c r="L60" s="2" t="s">
        <v>4</v>
      </c>
      <c r="M60" s="2" t="s">
        <v>5</v>
      </c>
      <c r="N60" s="3" t="s">
        <v>6</v>
      </c>
      <c r="U60" s="1" t="s">
        <v>20</v>
      </c>
      <c r="V60" s="2" t="s">
        <v>3</v>
      </c>
      <c r="W60" s="2" t="s">
        <v>4</v>
      </c>
      <c r="X60" s="2" t="s">
        <v>5</v>
      </c>
      <c r="Y60" s="3" t="s">
        <v>6</v>
      </c>
      <c r="AB60" s="1" t="s">
        <v>20</v>
      </c>
      <c r="AC60" s="2" t="s">
        <v>3</v>
      </c>
      <c r="AD60" s="2" t="s">
        <v>4</v>
      </c>
      <c r="AE60" s="2" t="s">
        <v>5</v>
      </c>
      <c r="AF60" s="3" t="s">
        <v>6</v>
      </c>
    </row>
    <row r="61" spans="2:32" ht="34" x14ac:dyDescent="0.2">
      <c r="B61" s="1">
        <v>1</v>
      </c>
      <c r="C61" s="1" t="s">
        <v>92</v>
      </c>
      <c r="D61" s="1" t="s">
        <v>93</v>
      </c>
      <c r="E61" s="1" t="s">
        <v>94</v>
      </c>
      <c r="F61" s="1" t="s">
        <v>95</v>
      </c>
      <c r="J61" s="1">
        <v>1</v>
      </c>
      <c r="K61" s="1" t="s">
        <v>96</v>
      </c>
      <c r="L61" s="1" t="s">
        <v>97</v>
      </c>
      <c r="M61" s="1" t="s">
        <v>98</v>
      </c>
      <c r="N61" s="1" t="s">
        <v>99</v>
      </c>
      <c r="U61" s="1">
        <v>1</v>
      </c>
      <c r="V61" s="4" t="s">
        <v>92</v>
      </c>
      <c r="W61" s="4" t="s">
        <v>159</v>
      </c>
      <c r="X61" s="4" t="s">
        <v>58</v>
      </c>
      <c r="Y61" s="4" t="s">
        <v>102</v>
      </c>
      <c r="AB61" s="1">
        <v>1</v>
      </c>
      <c r="AC61" s="4" t="s">
        <v>160</v>
      </c>
      <c r="AD61" s="4" t="s">
        <v>161</v>
      </c>
      <c r="AE61" s="4" t="s">
        <v>162</v>
      </c>
      <c r="AF61" s="4" t="s">
        <v>163</v>
      </c>
    </row>
    <row r="62" spans="2:32" ht="34" x14ac:dyDescent="0.2">
      <c r="B62" s="1">
        <v>2</v>
      </c>
      <c r="C62" s="4" t="s">
        <v>100</v>
      </c>
      <c r="D62" s="4" t="s">
        <v>93</v>
      </c>
      <c r="E62" s="4" t="s">
        <v>107</v>
      </c>
      <c r="F62" s="4" t="s">
        <v>102</v>
      </c>
      <c r="J62" s="1">
        <v>2</v>
      </c>
      <c r="K62" s="4" t="s">
        <v>103</v>
      </c>
      <c r="L62" s="4" t="s">
        <v>104</v>
      </c>
      <c r="M62" s="4" t="s">
        <v>105</v>
      </c>
      <c r="N62" s="4" t="s">
        <v>106</v>
      </c>
      <c r="U62" s="1">
        <v>2</v>
      </c>
      <c r="V62" s="1" t="s">
        <v>73</v>
      </c>
      <c r="W62" s="1" t="s">
        <v>164</v>
      </c>
      <c r="X62" s="1" t="s">
        <v>165</v>
      </c>
      <c r="Y62" s="1" t="s">
        <v>166</v>
      </c>
      <c r="AB62" s="1">
        <v>2</v>
      </c>
      <c r="AC62" s="1" t="s">
        <v>167</v>
      </c>
      <c r="AD62" s="1" t="s">
        <v>168</v>
      </c>
      <c r="AE62" s="1" t="s">
        <v>169</v>
      </c>
      <c r="AF62" s="1" t="s">
        <v>170</v>
      </c>
    </row>
    <row r="63" spans="2:32" ht="34" x14ac:dyDescent="0.2">
      <c r="B63" s="1">
        <v>3</v>
      </c>
      <c r="C63" s="1" t="s">
        <v>100</v>
      </c>
      <c r="D63" s="1" t="s">
        <v>108</v>
      </c>
      <c r="E63" s="1" t="s">
        <v>109</v>
      </c>
      <c r="F63" s="1" t="s">
        <v>95</v>
      </c>
      <c r="J63" s="1">
        <v>3</v>
      </c>
      <c r="K63" s="1" t="s">
        <v>110</v>
      </c>
      <c r="L63" s="1" t="s">
        <v>111</v>
      </c>
      <c r="M63" s="1" t="s">
        <v>112</v>
      </c>
      <c r="N63" s="1" t="s">
        <v>113</v>
      </c>
      <c r="U63" s="1">
        <v>3</v>
      </c>
      <c r="V63" s="1" t="s">
        <v>73</v>
      </c>
      <c r="W63" s="1" t="s">
        <v>164</v>
      </c>
      <c r="X63" s="1" t="s">
        <v>171</v>
      </c>
      <c r="Y63" s="1" t="s">
        <v>172</v>
      </c>
      <c r="AB63" s="1">
        <v>3</v>
      </c>
      <c r="AC63" s="1" t="s">
        <v>173</v>
      </c>
      <c r="AD63" s="1" t="s">
        <v>174</v>
      </c>
      <c r="AE63" s="1" t="s">
        <v>175</v>
      </c>
      <c r="AF63" s="1" t="s">
        <v>176</v>
      </c>
    </row>
    <row r="64" spans="2:32" x14ac:dyDescent="0.2">
      <c r="C64" s="1">
        <v>0.9</v>
      </c>
      <c r="D64" s="1">
        <v>0.86</v>
      </c>
      <c r="E64" s="1">
        <v>0.77</v>
      </c>
      <c r="F64" s="1">
        <v>0.79</v>
      </c>
      <c r="K64" s="1">
        <v>13.2</v>
      </c>
      <c r="L64" s="1">
        <v>18.829999999999998</v>
      </c>
      <c r="M64" s="1">
        <v>47.01</v>
      </c>
      <c r="N64" s="1">
        <v>62.44</v>
      </c>
      <c r="V64" s="1">
        <v>0.9</v>
      </c>
      <c r="W64" s="1">
        <v>0.87</v>
      </c>
      <c r="X64" s="1">
        <v>0.81</v>
      </c>
      <c r="Y64" s="1">
        <v>0.77</v>
      </c>
      <c r="AC64" s="1">
        <v>12.64</v>
      </c>
      <c r="AD64" s="1">
        <v>18.82</v>
      </c>
      <c r="AE64" s="1">
        <v>40.32</v>
      </c>
      <c r="AF64" s="1">
        <v>62</v>
      </c>
    </row>
  </sheetData>
  <mergeCells count="44">
    <mergeCell ref="AE1:AE2"/>
    <mergeCell ref="AF1:AF2"/>
    <mergeCell ref="AG1:AJ1"/>
    <mergeCell ref="Z1:Z2"/>
    <mergeCell ref="AA1:AA2"/>
    <mergeCell ref="AB1:AB2"/>
    <mergeCell ref="AC1:AC2"/>
    <mergeCell ref="AD1:AD2"/>
    <mergeCell ref="AC32:AF32"/>
    <mergeCell ref="AC41:AF41"/>
    <mergeCell ref="AC50:AF50"/>
    <mergeCell ref="AC59:AF59"/>
    <mergeCell ref="V32:Y32"/>
    <mergeCell ref="C59:F59"/>
    <mergeCell ref="C32:F32"/>
    <mergeCell ref="C41:F41"/>
    <mergeCell ref="C50:F50"/>
    <mergeCell ref="V41:Y41"/>
    <mergeCell ref="V50:Y50"/>
    <mergeCell ref="V59:Y59"/>
    <mergeCell ref="K32:N32"/>
    <mergeCell ref="K41:N41"/>
    <mergeCell ref="K50:N50"/>
    <mergeCell ref="K59:N59"/>
    <mergeCell ref="T28:Y28"/>
    <mergeCell ref="J28:P28"/>
    <mergeCell ref="A1:A2"/>
    <mergeCell ref="B28:H28"/>
    <mergeCell ref="G1:G2"/>
    <mergeCell ref="H1:H2"/>
    <mergeCell ref="I1:L1"/>
    <mergeCell ref="B1:B2"/>
    <mergeCell ref="C1:C2"/>
    <mergeCell ref="E1:E2"/>
    <mergeCell ref="D1:D2"/>
    <mergeCell ref="F1:F2"/>
    <mergeCell ref="Y1:Y2"/>
    <mergeCell ref="BT37:BW37"/>
    <mergeCell ref="CB37:CE37"/>
    <mergeCell ref="BB33:BG33"/>
    <mergeCell ref="BD37:BG37"/>
    <mergeCell ref="BK37:BN37"/>
    <mergeCell ref="BS34:BY34"/>
    <mergeCell ref="CA34:CG34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Faraji, Mahtab</dc:creator>
  <cp:lastModifiedBy>Faraji, Mahtab</cp:lastModifiedBy>
  <dcterms:created xsi:type="dcterms:W3CDTF">2024-10-10T13:44:26Z</dcterms:created>
  <dcterms:modified xsi:type="dcterms:W3CDTF">2024-11-03T14:57:20Z</dcterms:modified>
</cp:coreProperties>
</file>